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SIONTEC CLIENT COMPLETEDPROJECTS\KVM_ERP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9" i="1" s="1"/>
  <c r="E33" i="1" s="1"/>
  <c r="F36" i="1" s="1"/>
  <c r="F40" i="1" s="1"/>
  <c r="F17" i="1" l="1"/>
  <c r="D7" i="1"/>
  <c r="F7" i="1" s="1"/>
</calcChain>
</file>

<file path=xl/sharedStrings.xml><?xml version="1.0" encoding="utf-8"?>
<sst xmlns="http://schemas.openxmlformats.org/spreadsheetml/2006/main" count="35" uniqueCount="29">
  <si>
    <t>COST FACTOR CALCULATION FOR THE PRODUCT BASED ON HEAD ON HEAD LESS</t>
  </si>
  <si>
    <t>Slab Count x Packing with Glazing value</t>
  </si>
  <si>
    <t>For eg</t>
  </si>
  <si>
    <t>Slab Total Count is</t>
  </si>
  <si>
    <t>Slicing with Glazing Value is</t>
  </si>
  <si>
    <t>Head On Means Fixed Value 100</t>
  </si>
  <si>
    <t>Multiply with 100</t>
  </si>
  <si>
    <t>TOTAL FOR DEDUCTION IN COST FACTOR</t>
  </si>
  <si>
    <t>Head Leass Means Fixed Value 150</t>
  </si>
  <si>
    <t>FOR GRADE WEIGHT</t>
  </si>
  <si>
    <t>Multiply with 150</t>
  </si>
  <si>
    <t>TOTAL</t>
  </si>
  <si>
    <t>RATE CALCULATION FOR EACH SLAB</t>
  </si>
  <si>
    <t>IT MAY BE ANYTHING @70, @72, @75</t>
  </si>
  <si>
    <t>HEAD ON</t>
  </si>
  <si>
    <t>SLAB</t>
  </si>
  <si>
    <t>U - 15</t>
  </si>
  <si>
    <t>20 - 30</t>
  </si>
  <si>
    <t>30 - 40</t>
  </si>
  <si>
    <t>10 -- 20</t>
  </si>
  <si>
    <t>MULTIPLY SLAB X VALUE</t>
  </si>
  <si>
    <t>IN THIS WE TAKE $ 70</t>
  </si>
  <si>
    <t>TOTAL VALUE FOR DOLLAR</t>
  </si>
  <si>
    <t>TOTAL DOLLAR VALUE DIVIDE BY NET WEIGHT IS GIVING PER KG DOLLAR VALUE</t>
  </si>
  <si>
    <t>NET WEIGHT</t>
  </si>
  <si>
    <t>MULTIPLY TOTAL WITH MANUAL VALUE</t>
  </si>
  <si>
    <t>VALUE (MANUAL VALUE NOT FIXED)</t>
  </si>
  <si>
    <t>DOLLAR RATE IT CAN BE ANYTHING (FOR EG.., 70, 72, 75)(MANUAL VALUE NOT FIXED)</t>
  </si>
  <si>
    <t>(MANUAL VALUE NOT 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</si>
</sst>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5" fillId="6" borderId="0" applyNumberFormat="0" applyBorder="0" applyAlignment="0" applyProtection="0"/>
  </cellStyleXfs>
  <cellXfs count="19">
    <xf numFmtId="0" fontId="0" fillId="0" borderId="0" xfId="0"/>
    <xf numFmtId="0" fontId="1" fillId="2" borderId="0" xfId="1"/>
    <xf numFmtId="0" fontId="3" fillId="4" borderId="1" xfId="3"/>
    <xf numFmtId="0" fontId="4" fillId="5" borderId="2" xfId="4"/>
    <xf numFmtId="0" fontId="2" fillId="3" borderId="0" xfId="2"/>
    <xf numFmtId="0" fontId="1" fillId="2" borderId="1" xfId="1" applyBorder="1"/>
    <xf numFmtId="0" fontId="5" fillId="6" borderId="0" xfId="5"/>
    <xf numFmtId="0" fontId="4" fillId="5" borderId="3" xfId="4" applyBorder="1"/>
    <xf numFmtId="0" fontId="0" fillId="0" borderId="3" xfId="0" applyBorder="1"/>
    <xf numFmtId="0" fontId="3" fillId="4" borderId="3" xfId="3" applyBorder="1"/>
    <xf numFmtId="0" fontId="3" fillId="4" borderId="3" xfId="3" applyNumberFormat="1" applyBorder="1"/>
    <xf numFmtId="0" fontId="0" fillId="0" borderId="0" xfId="0" applyAlignment="1">
      <alignment wrapText="1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6" borderId="0" xfId="5" applyFont="1"/>
    <xf numFmtId="0" fontId="9" fillId="3" borderId="0" xfId="2" applyFont="1"/>
    <xf numFmtId="0" fontId="10" fillId="2" borderId="0" xfId="1" applyFont="1" applyBorder="1"/>
    <xf numFmtId="0" fontId="10" fillId="2" borderId="0" xfId="1" applyFont="1"/>
    <xf numFmtId="0" fontId="4" fillId="5" borderId="3" xfId="4" applyBorder="1" applyAlignment="1">
      <alignment wrapText="1"/>
    </xf>
  </cellXfs>
  <cellStyles count="6">
    <cellStyle name="Bad" xfId="2" builtinId="27"/>
    <cellStyle name="Calculation" xfId="3" builtinId="22"/>
    <cellStyle name="Check Cell" xfId="4" builtinId="23"/>
    <cellStyle name="Good" xfId="1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28" workbookViewId="0">
      <selection activeCell="B43" sqref="B43"/>
    </sheetView>
  </sheetViews>
  <sheetFormatPr defaultRowHeight="14.4" x14ac:dyDescent="0.3"/>
  <cols>
    <col min="2" max="2" width="68.21875" bestFit="1" customWidth="1"/>
    <col min="3" max="3" width="31.6640625" customWidth="1"/>
    <col min="4" max="4" width="14.5546875" customWidth="1"/>
    <col min="5" max="5" width="26.21875" customWidth="1"/>
    <col min="6" max="6" width="48.33203125" bestFit="1" customWidth="1"/>
  </cols>
  <sheetData>
    <row r="1" spans="1:6" x14ac:dyDescent="0.3">
      <c r="B1" s="6" t="s">
        <v>0</v>
      </c>
    </row>
    <row r="2" spans="1:6" x14ac:dyDescent="0.3">
      <c r="B2" t="s">
        <v>5</v>
      </c>
    </row>
    <row r="4" spans="1:6" x14ac:dyDescent="0.3">
      <c r="B4" t="s">
        <v>1</v>
      </c>
    </row>
    <row r="6" spans="1:6" x14ac:dyDescent="0.3">
      <c r="A6" t="s">
        <v>2</v>
      </c>
      <c r="B6" t="s">
        <v>3</v>
      </c>
      <c r="C6" t="s">
        <v>4</v>
      </c>
      <c r="E6" t="s">
        <v>6</v>
      </c>
      <c r="F6" t="s">
        <v>7</v>
      </c>
    </row>
    <row r="7" spans="1:6" x14ac:dyDescent="0.3">
      <c r="B7" s="2">
        <v>63</v>
      </c>
      <c r="C7" s="2">
        <v>1.43</v>
      </c>
      <c r="D7" s="1">
        <f>B7*C7</f>
        <v>90.089999999999989</v>
      </c>
      <c r="E7" s="2">
        <v>100</v>
      </c>
      <c r="F7" s="1">
        <f>D7*E7</f>
        <v>9008.9999999999982</v>
      </c>
    </row>
    <row r="9" spans="1:6" x14ac:dyDescent="0.3">
      <c r="B9" t="s">
        <v>8</v>
      </c>
    </row>
    <row r="11" spans="1:6" x14ac:dyDescent="0.3">
      <c r="B11" t="s">
        <v>1</v>
      </c>
    </row>
    <row r="13" spans="1:6" x14ac:dyDescent="0.3">
      <c r="A13" t="s">
        <v>2</v>
      </c>
      <c r="B13" t="s">
        <v>3</v>
      </c>
      <c r="C13" t="s">
        <v>4</v>
      </c>
      <c r="E13" t="s">
        <v>10</v>
      </c>
      <c r="F13" t="s">
        <v>7</v>
      </c>
    </row>
    <row r="14" spans="1:6" x14ac:dyDescent="0.3">
      <c r="B14" s="2">
        <v>41.4</v>
      </c>
      <c r="C14" s="2">
        <v>0</v>
      </c>
      <c r="D14" s="5">
        <v>41.4</v>
      </c>
      <c r="E14" s="2">
        <v>150</v>
      </c>
      <c r="F14" s="1">
        <v>6210</v>
      </c>
    </row>
    <row r="15" spans="1:6" x14ac:dyDescent="0.3">
      <c r="C15" s="4" t="s">
        <v>9</v>
      </c>
    </row>
    <row r="16" spans="1:6" ht="15" thickBot="1" x14ac:dyDescent="0.35"/>
    <row r="17" spans="2:6" ht="15.6" thickTop="1" thickBot="1" x14ac:dyDescent="0.35">
      <c r="E17" s="3" t="s">
        <v>11</v>
      </c>
      <c r="F17" s="3">
        <f>F7+F14</f>
        <v>15218.999999999998</v>
      </c>
    </row>
    <row r="18" spans="2:6" ht="15" thickTop="1" x14ac:dyDescent="0.3"/>
    <row r="19" spans="2:6" x14ac:dyDescent="0.3">
      <c r="B19" s="4" t="s">
        <v>12</v>
      </c>
    </row>
    <row r="20" spans="2:6" x14ac:dyDescent="0.3">
      <c r="B20" t="s">
        <v>13</v>
      </c>
    </row>
    <row r="22" spans="2:6" ht="57.6" x14ac:dyDescent="0.3">
      <c r="B22" s="7" t="s">
        <v>14</v>
      </c>
      <c r="C22" s="7" t="s">
        <v>15</v>
      </c>
      <c r="D22" s="18" t="s">
        <v>26</v>
      </c>
      <c r="E22" s="7" t="s">
        <v>20</v>
      </c>
    </row>
    <row r="23" spans="2:6" x14ac:dyDescent="0.3">
      <c r="B23" s="8"/>
      <c r="C23" s="8"/>
      <c r="D23" s="8"/>
      <c r="E23" s="8"/>
    </row>
    <row r="24" spans="2:6" x14ac:dyDescent="0.3">
      <c r="B24" s="9" t="s">
        <v>16</v>
      </c>
      <c r="C24" s="9">
        <v>10</v>
      </c>
      <c r="D24" s="9">
        <v>10.5</v>
      </c>
      <c r="E24" s="9">
        <f>C24*D24</f>
        <v>105</v>
      </c>
    </row>
    <row r="25" spans="2:6" x14ac:dyDescent="0.3">
      <c r="B25" s="9" t="s">
        <v>19</v>
      </c>
      <c r="C25" s="9">
        <v>17</v>
      </c>
      <c r="D25" s="9">
        <v>9.8000000000000007</v>
      </c>
      <c r="E25" s="9">
        <f>C25*D25</f>
        <v>166.60000000000002</v>
      </c>
    </row>
    <row r="26" spans="2:6" x14ac:dyDescent="0.3">
      <c r="B26" s="10" t="s">
        <v>17</v>
      </c>
      <c r="C26" s="9">
        <v>31</v>
      </c>
      <c r="D26" s="9">
        <v>7</v>
      </c>
      <c r="E26" s="9">
        <f>C26*D26</f>
        <v>217</v>
      </c>
    </row>
    <row r="27" spans="2:6" x14ac:dyDescent="0.3">
      <c r="B27" s="10" t="s">
        <v>18</v>
      </c>
      <c r="C27" s="9">
        <v>5</v>
      </c>
      <c r="D27" s="9">
        <v>5.8</v>
      </c>
      <c r="E27" s="9">
        <f>C27*D27</f>
        <v>29</v>
      </c>
    </row>
    <row r="29" spans="2:6" x14ac:dyDescent="0.3">
      <c r="D29" t="s">
        <v>11</v>
      </c>
      <c r="E29" s="16">
        <f>E24+E25+E26+E27</f>
        <v>517.6</v>
      </c>
    </row>
    <row r="31" spans="2:6" ht="43.2" x14ac:dyDescent="0.3">
      <c r="D31" s="11" t="s">
        <v>28</v>
      </c>
      <c r="E31" s="17">
        <v>1.4</v>
      </c>
      <c r="F31" s="11" t="s">
        <v>27</v>
      </c>
    </row>
    <row r="32" spans="2:6" x14ac:dyDescent="0.3">
      <c r="F32" t="s">
        <v>21</v>
      </c>
    </row>
    <row r="33" spans="4:6" ht="43.2" x14ac:dyDescent="0.3">
      <c r="D33" s="11" t="s">
        <v>25</v>
      </c>
      <c r="E33" s="15">
        <f>E29*E31</f>
        <v>724.64</v>
      </c>
      <c r="F33" s="14">
        <v>70</v>
      </c>
    </row>
    <row r="35" spans="4:6" ht="15" thickBot="1" x14ac:dyDescent="0.35"/>
    <row r="36" spans="4:6" ht="15.6" thickTop="1" thickBot="1" x14ac:dyDescent="0.35">
      <c r="E36" s="3" t="s">
        <v>22</v>
      </c>
      <c r="F36" s="12">
        <f>E33*F33</f>
        <v>50724.799999999996</v>
      </c>
    </row>
    <row r="37" spans="4:6" ht="15.6" thickTop="1" thickBot="1" x14ac:dyDescent="0.35"/>
    <row r="38" spans="4:6" ht="15.6" thickTop="1" thickBot="1" x14ac:dyDescent="0.35">
      <c r="E38" s="3" t="s">
        <v>24</v>
      </c>
      <c r="F38" s="12">
        <v>90.09</v>
      </c>
    </row>
    <row r="39" spans="4:6" ht="15" thickTop="1" x14ac:dyDescent="0.3"/>
    <row r="40" spans="4:6" ht="43.2" x14ac:dyDescent="0.3">
      <c r="E40" s="11" t="s">
        <v>23</v>
      </c>
      <c r="F40" s="13">
        <f>F36/F38</f>
        <v>563.04584304584296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2025-11-10T12:20:49Z</dcterms:created>
  <dcterms:modified xsi:type="dcterms:W3CDTF">2025-11-12T05:42:05Z</dcterms:modified>
</cp:coreProperties>
</file>